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trol Matrix" sheetId="2" state="visible" r:id="rId2"/>
    <sheet xmlns:r="http://schemas.openxmlformats.org/officeDocument/2006/relationships" name="Findings Register" sheetId="3" state="visible" r:id="rId3"/>
    <sheet xmlns:r="http://schemas.openxmlformats.org/officeDocument/2006/relationships" name="Roadmap" sheetId="4" state="visible" r:id="rId4"/>
    <sheet xmlns:r="http://schemas.openxmlformats.org/officeDocument/2006/relationships" name="Questionnai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family val="2"/>
      <color theme="10"/>
      <sz val="12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 inden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top" wrapText="1" indent="1"/>
    </xf>
    <xf numFmtId="164" fontId="0" fillId="0" borderId="1" applyAlignment="1" pivotButton="0" quotePrefix="0" xfId="0">
      <alignment horizontal="center" vertical="center" wrapText="1"/>
    </xf>
    <xf numFmtId="0" fontId="4" fillId="0" borderId="1" pivotButton="0" quotePrefix="0" xfId="1"/>
    <xf numFmtId="3" fontId="0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mix</a:t>
            </a:r>
          </a:p>
        </rich>
      </tx>
    </title>
    <plotArea>
      <doughnutChart>
        <varyColors val="1"/>
        <ser>
          <idx val="0"/>
          <order val="0"/>
          <tx>
            <strRef>
              <f>'Overview'!C11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'Overview'!$B$12:$B$14</f>
            </numRef>
          </cat>
          <val>
            <numRef>
              <f>'Overview'!$C$12:$C$14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28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ntrolMatrix" displayName="ControlMatrix" ref="B5:J29" headerRowCount="1">
  <autoFilter ref="B5:J29"/>
  <tableColumns count="9">
    <tableColumn id="2" name="Domain"/>
    <tableColumn id="3" name="Control Ref"/>
    <tableColumn id="4" name="Control Title"/>
    <tableColumn id="5" name="Objective"/>
    <tableColumn id="6" name="Current State"/>
    <tableColumn id="7" name="Evidence / Assumption"/>
    <tableColumn id="8" name="Status"/>
    <tableColumn id="9" name="Score"/>
    <tableColumn id="10" name="Priorit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indingsRegister" displayName="FindingsRegister" ref="B5:K13" headerRowCount="1">
  <autoFilter ref="B5:K13"/>
  <tableColumns count="10">
    <tableColumn id="2" name="ID"/>
    <tableColumn id="3" name="Category"/>
    <tableColumn id="4" name="Finding"/>
    <tableColumn id="5" name="Risk Statement"/>
    <tableColumn id="6" name="Impact"/>
    <tableColumn id="7" name="Likelihood"/>
    <tableColumn id="8" name="Impact Rating"/>
    <tableColumn id="9" name="Risk"/>
    <tableColumn id="10" name="Owner"/>
    <tableColumn id="11" name="Recommended Action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RoadmapTable" displayName="RoadmapTable" ref="B5:H13" headerRowCount="1">
  <autoFilter ref="B5:H13"/>
  <tableColumns count="7">
    <tableColumn id="2" name="Phase"/>
    <tableColumn id="3" name="Timeline"/>
    <tableColumn id="4" name="Workstream"/>
    <tableColumn id="5" name="Action"/>
    <tableColumn id="6" name="Owner"/>
    <tableColumn id="7" name="Effort"/>
    <tableColumn id="8" name="Dependency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QuestionnaireTable" displayName="QuestionnaireTable" ref="B5:F15" headerRowCount="1">
  <autoFilter ref="B5:F15"/>
  <tableColumns count="5">
    <tableColumn id="2" name="Area"/>
    <tableColumn id="3" name="Question"/>
    <tableColumn id="4" name="Suggested Evidence"/>
    <tableColumn id="5" name="Primary Stakeholder"/>
    <tableColumn id="6" name="Priority"/>
  </tableColumns>
  <tableStyleInfo name="TableStyleMedium6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ntrol Matrix'!A1" TargetMode="External" Id="rId1"/><Relationship Type="http://schemas.openxmlformats.org/officeDocument/2006/relationships/hyperlink" Target="#'Findings Register'!A1" TargetMode="External" Id="rId2"/><Relationship Type="http://schemas.openxmlformats.org/officeDocument/2006/relationships/hyperlink" Target="#'Roadmap'!A1" TargetMode="External" Id="rId3"/><Relationship Type="http://schemas.openxmlformats.org/officeDocument/2006/relationships/hyperlink" Target="#'Questionnaire'!A1" TargetMode="External" Id="rId4"/><Relationship Type="http://schemas.openxmlformats.org/officeDocument/2006/relationships/drawing" Target="/xl/drawings/drawing1.xm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18" customWidth="1" min="4" max="4"/>
    <col width="22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/>
    <row r="2">
      <c r="B2" s="1" t="inlineStr">
        <is>
          <t>Mini ISO 27001 Gap Assessment Project Pack</t>
        </is>
      </c>
    </row>
    <row r="3">
      <c r="B3" s="2" t="inlineStr">
        <is>
          <t>Fictional case study for a cloud-native SaaS company (NorthstarHR)</t>
        </is>
      </c>
    </row>
    <row r="4">
      <c r="B4" s="2" t="inlineStr">
        <is>
          <t>Purpose: demonstrate ISO 27001:2022 gap assessment, risk prioritization, and remediation planning.</t>
        </is>
      </c>
    </row>
    <row r="5"/>
    <row r="6">
      <c r="B6" s="3" t="inlineStr">
        <is>
          <t>Project Summary</t>
        </is>
      </c>
      <c r="C6" s="4" t="n"/>
      <c r="D6" s="5" t="n"/>
      <c r="E6" s="3" t="inlineStr">
        <is>
          <t>Assessment Metrics</t>
        </is>
      </c>
      <c r="F6" s="5" t="n"/>
      <c r="G6" s="3" t="inlineStr">
        <is>
          <t>Navigation</t>
        </is>
      </c>
      <c r="H6" s="4" t="n"/>
      <c r="I6" s="5" t="n"/>
    </row>
    <row r="7">
      <c r="B7" s="6" t="inlineStr">
        <is>
          <t>Client profile</t>
        </is>
      </c>
      <c r="C7" s="7" t="inlineStr">
        <is>
          <t>NorthstarHR is a fictional 25-person HR SaaS startup handling employee PII.</t>
        </is>
      </c>
      <c r="E7" s="6" t="inlineStr">
        <is>
          <t>Total controls</t>
        </is>
      </c>
      <c r="F7" s="8">
        <f>COUNTA('Control Matrix'!B6:B29)</f>
        <v/>
      </c>
      <c r="G7" s="9" t="inlineStr">
        <is>
          <t>Control Matrix</t>
        </is>
      </c>
    </row>
    <row r="8">
      <c r="B8" s="6" t="inlineStr">
        <is>
          <t>Assessment scope</t>
        </is>
      </c>
      <c r="C8" s="7" t="inlineStr">
        <is>
          <t>Core SaaS app, AWS production, Microsoft 365, endpoint security, vendor management, backups, and incident response.</t>
        </is>
      </c>
      <c r="E8" s="6" t="inlineStr">
        <is>
          <t>Implemented</t>
        </is>
      </c>
      <c r="F8" s="8">
        <f>COUNTIF('Control Matrix'!G6:G29,"Implemented")</f>
        <v/>
      </c>
      <c r="G8" s="9" t="inlineStr">
        <is>
          <t>Findings Register</t>
        </is>
      </c>
    </row>
    <row r="9">
      <c r="B9" s="6" t="inlineStr">
        <is>
          <t>Assessment method</t>
        </is>
      </c>
      <c r="C9" s="7" t="inlineStr">
        <is>
          <t>Review selected ISO clauses and 24 Annex A controls using a simple maturity score: 0 absent, 1 partial, 2 implemented.</t>
        </is>
      </c>
      <c r="E9" s="6" t="inlineStr">
        <is>
          <t>Partial</t>
        </is>
      </c>
      <c r="F9" s="8">
        <f>COUNTIF('Control Matrix'!G6:G29,"Partial")</f>
        <v/>
      </c>
      <c r="G9" s="9" t="inlineStr">
        <is>
          <t>Roadmap</t>
        </is>
      </c>
    </row>
    <row r="10">
      <c r="E10" s="6" t="inlineStr">
        <is>
          <t>Not implemented</t>
        </is>
      </c>
      <c r="F10" s="8">
        <f>COUNTIF('Control Matrix'!G6:G29,"Not Implemented")</f>
        <v/>
      </c>
      <c r="G10" s="9" t="inlineStr">
        <is>
          <t>Questionnaire</t>
        </is>
      </c>
    </row>
    <row r="11">
      <c r="B11" s="3" t="inlineStr">
        <is>
          <t>Control Status Distribution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B12" t="inlineStr">
        <is>
          <t>Implemented</t>
        </is>
      </c>
      <c r="C12">
        <f>F8</f>
        <v/>
      </c>
      <c r="E12" s="6" t="inlineStr">
        <is>
          <t>High-risk findings</t>
        </is>
      </c>
      <c r="F12" s="10">
        <f>COUNTIF('Findings Register'!H6:H13,"High")</f>
        <v/>
      </c>
    </row>
    <row r="13">
      <c r="B13" t="inlineStr">
        <is>
          <t>Partial</t>
        </is>
      </c>
      <c r="C13">
        <f>F9</f>
        <v/>
      </c>
    </row>
    <row r="14">
      <c r="B14" t="inlineStr">
        <is>
          <t>Not Implemented</t>
        </is>
      </c>
      <c r="C14">
        <f>F10</f>
        <v/>
      </c>
    </row>
    <row r="15"/>
    <row r="16"/>
    <row r="17"/>
    <row r="18">
      <c r="B18" s="3" t="inlineStr">
        <is>
          <t>Top Deliverables Included</t>
        </is>
      </c>
      <c r="C18" s="4" t="n"/>
      <c r="D18" s="4" t="n"/>
      <c r="E18" s="4" t="n"/>
      <c r="F18" s="4" t="n"/>
      <c r="G18" s="4" t="n"/>
      <c r="H18" s="4" t="n"/>
      <c r="I18" s="5" t="n"/>
    </row>
    <row r="19">
      <c r="B19" s="2" t="inlineStr">
        <is>
          <t>- Assessment workbook with control matrix, findings register, roadmap, and questionnaire.</t>
        </is>
      </c>
    </row>
    <row r="20">
      <c r="B20" s="2" t="inlineStr">
        <is>
          <t>- Portfolio-ready report summarizing scope, method, findings, and showcase guidance.</t>
        </is>
      </c>
    </row>
    <row r="21">
      <c r="B21" s="2" t="inlineStr">
        <is>
          <t>- Risk-prioritized sample gaps suitable for LinkedIn, GitHub, or personal portfolio use.</t>
        </is>
      </c>
    </row>
  </sheetData>
  <mergeCells count="18">
    <mergeCell ref="B18:I18"/>
    <mergeCell ref="E6:F6"/>
    <mergeCell ref="G10:I10"/>
    <mergeCell ref="C7:D7"/>
    <mergeCell ref="B21:I21"/>
    <mergeCell ref="G6:I6"/>
    <mergeCell ref="C8:D8"/>
    <mergeCell ref="B11:I11"/>
    <mergeCell ref="B2:I2"/>
    <mergeCell ref="B20:I20"/>
    <mergeCell ref="G8:I8"/>
    <mergeCell ref="B3:I3"/>
    <mergeCell ref="G9:I9"/>
    <mergeCell ref="B19:I19"/>
    <mergeCell ref="C9:D9"/>
    <mergeCell ref="G7:I7"/>
    <mergeCell ref="B6:D6"/>
    <mergeCell ref="B4:I4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26" customWidth="1" min="4" max="4"/>
    <col width="32" customWidth="1" min="5" max="5"/>
    <col width="32" customWidth="1" min="6" max="6"/>
    <col width="34" customWidth="1" min="7" max="7"/>
    <col width="16" customWidth="1" min="8" max="8"/>
    <col width="10" customWidth="1" min="9" max="9"/>
    <col width="12" customWidth="1" min="10" max="10"/>
  </cols>
  <sheetData>
    <row r="1"/>
    <row r="2">
      <c r="B2" s="1" t="inlineStr">
        <is>
          <t>Control Matrix</t>
        </is>
      </c>
    </row>
    <row r="3">
      <c r="B3" s="2" t="inlineStr">
        <is>
          <t>Scoring: 0 absent, 1 partial, 2 implemented</t>
        </is>
      </c>
    </row>
    <row r="4"/>
    <row r="5">
      <c r="B5" s="11" t="inlineStr">
        <is>
          <t>Domain</t>
        </is>
      </c>
      <c r="C5" s="11" t="inlineStr">
        <is>
          <t>Control Ref</t>
        </is>
      </c>
      <c r="D5" s="11" t="inlineStr">
        <is>
          <t>Control Title</t>
        </is>
      </c>
      <c r="E5" s="11" t="inlineStr">
        <is>
          <t>Objective</t>
        </is>
      </c>
      <c r="F5" s="11" t="inlineStr">
        <is>
          <t>Current State</t>
        </is>
      </c>
      <c r="G5" s="11" t="inlineStr">
        <is>
          <t>Evidence / Assumption</t>
        </is>
      </c>
      <c r="H5" s="11" t="inlineStr">
        <is>
          <t>Status</t>
        </is>
      </c>
      <c r="I5" s="11" t="inlineStr">
        <is>
          <t>Score</t>
        </is>
      </c>
      <c r="J5" s="11" t="inlineStr">
        <is>
          <t>Priority</t>
        </is>
      </c>
      <c r="K5" s="11" t="inlineStr">
        <is>
          <t>Recommendation</t>
        </is>
      </c>
    </row>
    <row r="6">
      <c r="B6" s="12" t="inlineStr">
        <is>
          <t>Clause</t>
        </is>
      </c>
      <c r="C6" s="12" t="inlineStr">
        <is>
          <t>4.1</t>
        </is>
      </c>
      <c r="D6" s="7" t="inlineStr">
        <is>
          <t>Context of the organization</t>
        </is>
      </c>
      <c r="E6" s="7" t="inlineStr">
        <is>
          <t>Define internal/external issues</t>
        </is>
      </c>
      <c r="F6" s="7" t="inlineStr">
        <is>
          <t>Ad hoc business context, no formal ISMS scoping memo</t>
        </is>
      </c>
      <c r="G6" s="12" t="inlineStr">
        <is>
          <t>Leadership understands business risks but no documented context analysis</t>
        </is>
      </c>
      <c r="H6" s="13" t="inlineStr">
        <is>
          <t>Partial</t>
        </is>
      </c>
      <c r="I6" s="14" t="n">
        <v>1</v>
      </c>
      <c r="J6" s="7" t="inlineStr">
        <is>
          <t>Medium</t>
        </is>
      </c>
      <c r="K6" s="7" t="inlineStr">
        <is>
          <t>Create ISMS context statement and define interested parties.</t>
        </is>
      </c>
    </row>
    <row r="7">
      <c r="B7" s="12" t="inlineStr">
        <is>
          <t>Clause</t>
        </is>
      </c>
      <c r="C7" s="12" t="inlineStr">
        <is>
          <t>5.1</t>
        </is>
      </c>
      <c r="D7" s="7" t="inlineStr">
        <is>
          <t>Leadership and commitment</t>
        </is>
      </c>
      <c r="E7" s="7" t="inlineStr">
        <is>
          <t>Show management support</t>
        </is>
      </c>
      <c r="F7" s="7" t="inlineStr">
        <is>
          <t>Security ownership exists but no formal steering cadence</t>
        </is>
      </c>
      <c r="G7" s="12" t="inlineStr">
        <is>
          <t>CTO sponsors security work informally</t>
        </is>
      </c>
      <c r="H7" s="13" t="inlineStr">
        <is>
          <t>Partial</t>
        </is>
      </c>
      <c r="I7" s="14" t="n">
        <v>1</v>
      </c>
      <c r="J7" s="7" t="inlineStr">
        <is>
          <t>High</t>
        </is>
      </c>
      <c r="K7" s="7" t="inlineStr">
        <is>
          <t>Establish monthly security governance review with action tracking.</t>
        </is>
      </c>
    </row>
    <row r="8">
      <c r="B8" s="12" t="inlineStr">
        <is>
          <t>Clause</t>
        </is>
      </c>
      <c r="C8" s="12" t="inlineStr">
        <is>
          <t>6.1</t>
        </is>
      </c>
      <c r="D8" s="7" t="inlineStr">
        <is>
          <t>Risk assessment process</t>
        </is>
      </c>
      <c r="E8" s="7" t="inlineStr">
        <is>
          <t>Use repeatable risk method</t>
        </is>
      </c>
      <c r="F8" s="7" t="inlineStr">
        <is>
          <t>Informal risk reviews only during incidents</t>
        </is>
      </c>
      <c r="G8" s="12" t="inlineStr">
        <is>
          <t>No approved risk methodology or criteria</t>
        </is>
      </c>
      <c r="H8" s="15" t="inlineStr">
        <is>
          <t>Not Implemented</t>
        </is>
      </c>
      <c r="I8" s="14" t="n">
        <v>0</v>
      </c>
      <c r="J8" s="7" t="inlineStr">
        <is>
          <t>High</t>
        </is>
      </c>
      <c r="K8" s="7" t="inlineStr">
        <is>
          <t>Create risk methodology with likelihood, impact, and treatment rules.</t>
        </is>
      </c>
    </row>
    <row r="9">
      <c r="B9" s="12" t="inlineStr">
        <is>
          <t>Clause</t>
        </is>
      </c>
      <c r="C9" s="12" t="inlineStr">
        <is>
          <t>6.2</t>
        </is>
      </c>
      <c r="D9" s="7" t="inlineStr">
        <is>
          <t>Security objectives</t>
        </is>
      </c>
      <c r="E9" s="7" t="inlineStr">
        <is>
          <t>Define measurable objectives</t>
        </is>
      </c>
      <c r="F9" s="7" t="inlineStr">
        <is>
          <t>Security goals are implied, not measured</t>
        </is>
      </c>
      <c r="G9" s="12" t="inlineStr">
        <is>
          <t>No KPI/KRI set for ISMS</t>
        </is>
      </c>
      <c r="H9" s="15" t="inlineStr">
        <is>
          <t>Not Implemented</t>
        </is>
      </c>
      <c r="I9" s="14" t="n">
        <v>0</v>
      </c>
      <c r="J9" s="7" t="inlineStr">
        <is>
          <t>Medium</t>
        </is>
      </c>
      <c r="K9" s="7" t="inlineStr">
        <is>
          <t>Set quarterly objectives for patching, phishing, backups, and access reviews.</t>
        </is>
      </c>
    </row>
    <row r="10">
      <c r="B10" s="12" t="inlineStr">
        <is>
          <t>Clause</t>
        </is>
      </c>
      <c r="C10" s="12" t="inlineStr">
        <is>
          <t>7.2</t>
        </is>
      </c>
      <c r="D10" s="7" t="inlineStr">
        <is>
          <t>Competence</t>
        </is>
      </c>
      <c r="E10" s="7" t="inlineStr">
        <is>
          <t>Ensure staff competence</t>
        </is>
      </c>
      <c r="F10" s="7" t="inlineStr">
        <is>
          <t>Security training exists only for IT team</t>
        </is>
      </c>
      <c r="G10" s="12" t="inlineStr">
        <is>
          <t>No role-based competence matrix</t>
        </is>
      </c>
      <c r="H10" s="13" t="inlineStr">
        <is>
          <t>Partial</t>
        </is>
      </c>
      <c r="I10" s="14" t="n">
        <v>1</v>
      </c>
      <c r="J10" s="7" t="inlineStr">
        <is>
          <t>Medium</t>
        </is>
      </c>
      <c r="K10" s="7" t="inlineStr">
        <is>
          <t>Build role-based training plan for engineers, admins, and managers.</t>
        </is>
      </c>
    </row>
    <row r="11">
      <c r="B11" s="12" t="inlineStr">
        <is>
          <t>Clause</t>
        </is>
      </c>
      <c r="C11" s="12" t="inlineStr">
        <is>
          <t>7.5</t>
        </is>
      </c>
      <c r="D11" s="7" t="inlineStr">
        <is>
          <t>Documented information</t>
        </is>
      </c>
      <c r="E11" s="7" t="inlineStr">
        <is>
          <t>Control security documents</t>
        </is>
      </c>
      <c r="F11" s="7" t="inlineStr">
        <is>
          <t>Policies scattered across docs and wiki</t>
        </is>
      </c>
      <c r="G11" s="12" t="inlineStr">
        <is>
          <t>No document owner or review cycle</t>
        </is>
      </c>
      <c r="H11" s="13" t="inlineStr">
        <is>
          <t>Partial</t>
        </is>
      </c>
      <c r="I11" s="14" t="n">
        <v>1</v>
      </c>
      <c r="J11" s="7" t="inlineStr">
        <is>
          <t>High</t>
        </is>
      </c>
      <c r="K11" s="7" t="inlineStr">
        <is>
          <t>Create policy library with owners, versioning, and annual review dates.</t>
        </is>
      </c>
    </row>
    <row r="12">
      <c r="B12" s="12" t="inlineStr">
        <is>
          <t>Annex A</t>
        </is>
      </c>
      <c r="C12" s="12" t="inlineStr">
        <is>
          <t>A.5.9</t>
        </is>
      </c>
      <c r="D12" s="7" t="inlineStr">
        <is>
          <t>Inventory of information and assets</t>
        </is>
      </c>
      <c r="E12" s="7" t="inlineStr">
        <is>
          <t>Track critical assets</t>
        </is>
      </c>
      <c r="F12" s="7" t="inlineStr">
        <is>
          <t>Cloud assets partly tracked; endpoints tracked in EDR</t>
        </is>
      </c>
      <c r="G12" s="12" t="inlineStr">
        <is>
          <t>No unified inventory</t>
        </is>
      </c>
      <c r="H12" s="13" t="inlineStr">
        <is>
          <t>Partial</t>
        </is>
      </c>
      <c r="I12" s="14" t="n">
        <v>1</v>
      </c>
      <c r="J12" s="7" t="inlineStr">
        <is>
          <t>High</t>
        </is>
      </c>
      <c r="K12" s="7" t="inlineStr">
        <is>
          <t>Create centralized asset register for systems, data stores, devices, and owners.</t>
        </is>
      </c>
    </row>
    <row r="13">
      <c r="B13" s="12" t="inlineStr">
        <is>
          <t>Annex A</t>
        </is>
      </c>
      <c r="C13" s="12" t="inlineStr">
        <is>
          <t>A.5.15</t>
        </is>
      </c>
      <c r="D13" s="7" t="inlineStr">
        <is>
          <t>Access control</t>
        </is>
      </c>
      <c r="E13" s="7" t="inlineStr">
        <is>
          <t>Control logical access</t>
        </is>
      </c>
      <c r="F13" s="7" t="inlineStr">
        <is>
          <t>SSO used for some apps but access reviews are inconsistent</t>
        </is>
      </c>
      <c r="G13" s="12" t="inlineStr">
        <is>
          <t>M365 and AWS have separate practices</t>
        </is>
      </c>
      <c r="H13" s="13" t="inlineStr">
        <is>
          <t>Partial</t>
        </is>
      </c>
      <c r="I13" s="14" t="n">
        <v>1</v>
      </c>
      <c r="J13" s="7" t="inlineStr">
        <is>
          <t>High</t>
        </is>
      </c>
      <c r="K13" s="7" t="inlineStr">
        <is>
          <t>Document JML process and quarterly access recertification.</t>
        </is>
      </c>
    </row>
    <row r="14">
      <c r="B14" s="12" t="inlineStr">
        <is>
          <t>Annex A</t>
        </is>
      </c>
      <c r="C14" s="12" t="inlineStr">
        <is>
          <t>A.5.16</t>
        </is>
      </c>
      <c r="D14" s="7" t="inlineStr">
        <is>
          <t>Identity management</t>
        </is>
      </c>
      <c r="E14" s="7" t="inlineStr">
        <is>
          <t>Manage identities lifecycle</t>
        </is>
      </c>
      <c r="F14" s="7" t="inlineStr">
        <is>
          <t>Provisioning is ticket-based and manual</t>
        </is>
      </c>
      <c r="G14" s="12" t="inlineStr">
        <is>
          <t>No evidence of periodic entitlement validation</t>
        </is>
      </c>
      <c r="H14" s="13" t="inlineStr">
        <is>
          <t>Partial</t>
        </is>
      </c>
      <c r="I14" s="14" t="n">
        <v>1</v>
      </c>
      <c r="J14" s="7" t="inlineStr">
        <is>
          <t>High</t>
        </is>
      </c>
      <c r="K14" s="7" t="inlineStr">
        <is>
          <t>Define identity lifecycle workflows and evidence retention.</t>
        </is>
      </c>
    </row>
    <row r="15">
      <c r="B15" s="12" t="inlineStr">
        <is>
          <t>Annex A</t>
        </is>
      </c>
      <c r="C15" s="12" t="inlineStr">
        <is>
          <t>A.5.17</t>
        </is>
      </c>
      <c r="D15" s="7" t="inlineStr">
        <is>
          <t>Authentication information</t>
        </is>
      </c>
      <c r="E15" s="7" t="inlineStr">
        <is>
          <t>Protect credentials</t>
        </is>
      </c>
      <c r="F15" s="7" t="inlineStr">
        <is>
          <t>MFA enabled for admins but not all users</t>
        </is>
      </c>
      <c r="G15" s="12" t="inlineStr">
        <is>
          <t>Password standard exists only in onboarding checklist</t>
        </is>
      </c>
      <c r="H15" s="13" t="inlineStr">
        <is>
          <t>Partial</t>
        </is>
      </c>
      <c r="I15" s="14" t="n">
        <v>1</v>
      </c>
      <c r="J15" s="7" t="inlineStr">
        <is>
          <t>High</t>
        </is>
      </c>
      <c r="K15" s="7" t="inlineStr">
        <is>
          <t>Mandate MFA for workforce and privileged accounts.</t>
        </is>
      </c>
    </row>
    <row r="16">
      <c r="B16" s="12" t="inlineStr">
        <is>
          <t>Annex A</t>
        </is>
      </c>
      <c r="C16" s="12" t="inlineStr">
        <is>
          <t>A.5.19</t>
        </is>
      </c>
      <c r="D16" s="7" t="inlineStr">
        <is>
          <t>Supplier relationships</t>
        </is>
      </c>
      <c r="E16" s="7" t="inlineStr">
        <is>
          <t>Manage supplier security</t>
        </is>
      </c>
      <c r="F16" s="7" t="inlineStr">
        <is>
          <t>Vendors are reviewed informally by engineering</t>
        </is>
      </c>
      <c r="G16" s="12" t="inlineStr">
        <is>
          <t>No standard due diligence checklist</t>
        </is>
      </c>
      <c r="H16" s="15" t="inlineStr">
        <is>
          <t>Not Implemented</t>
        </is>
      </c>
      <c r="I16" s="14" t="n">
        <v>0</v>
      </c>
      <c r="J16" s="7" t="inlineStr">
        <is>
          <t>High</t>
        </is>
      </c>
      <c r="K16" s="7" t="inlineStr">
        <is>
          <t>Create vendor security review questionnaire and tiering model.</t>
        </is>
      </c>
    </row>
    <row r="17">
      <c r="B17" s="12" t="inlineStr">
        <is>
          <t>Annex A</t>
        </is>
      </c>
      <c r="C17" s="12" t="inlineStr">
        <is>
          <t>A.5.23</t>
        </is>
      </c>
      <c r="D17" s="7" t="inlineStr">
        <is>
          <t>Information security for cloud services</t>
        </is>
      </c>
      <c r="E17" s="7" t="inlineStr">
        <is>
          <t>Control cloud service risks</t>
        </is>
      </c>
      <c r="F17" s="7" t="inlineStr">
        <is>
          <t>AWS used extensively with baseline controls</t>
        </is>
      </c>
      <c r="G17" s="12" t="inlineStr">
        <is>
          <t>No documented cloud security standard</t>
        </is>
      </c>
      <c r="H17" s="13" t="inlineStr">
        <is>
          <t>Partial</t>
        </is>
      </c>
      <c r="I17" s="14" t="n">
        <v>1</v>
      </c>
      <c r="J17" s="7" t="inlineStr">
        <is>
          <t>High</t>
        </is>
      </c>
      <c r="K17" s="7" t="inlineStr">
        <is>
          <t>Create cloud baseline covering logging, IAM, encryption, and backups.</t>
        </is>
      </c>
    </row>
    <row r="18">
      <c r="B18" s="12" t="inlineStr">
        <is>
          <t>Annex A</t>
        </is>
      </c>
      <c r="C18" s="12" t="inlineStr">
        <is>
          <t>A.5.24</t>
        </is>
      </c>
      <c r="D18" s="7" t="inlineStr">
        <is>
          <t>Incident management planning and preparation</t>
        </is>
      </c>
      <c r="E18" s="7" t="inlineStr">
        <is>
          <t>Prepare for incidents</t>
        </is>
      </c>
      <c r="F18" s="7" t="inlineStr">
        <is>
          <t>IR steps known by security team only</t>
        </is>
      </c>
      <c r="G18" s="12" t="inlineStr">
        <is>
          <t>No approved playbooks or tabletop evidence</t>
        </is>
      </c>
      <c r="H18" s="15" t="inlineStr">
        <is>
          <t>Not Implemented</t>
        </is>
      </c>
      <c r="I18" s="14" t="n">
        <v>0</v>
      </c>
      <c r="J18" s="7" t="inlineStr">
        <is>
          <t>High</t>
        </is>
      </c>
      <c r="K18" s="7" t="inlineStr">
        <is>
          <t>Publish incident response plan and run tabletop exercise.</t>
        </is>
      </c>
    </row>
    <row r="19">
      <c r="B19" s="12" t="inlineStr">
        <is>
          <t>Annex A</t>
        </is>
      </c>
      <c r="C19" s="12" t="inlineStr">
        <is>
          <t>A.5.30</t>
        </is>
      </c>
      <c r="D19" s="7" t="inlineStr">
        <is>
          <t>ICT readiness for business continuity</t>
        </is>
      </c>
      <c r="E19" s="7" t="inlineStr">
        <is>
          <t>Prepare technology continuity</t>
        </is>
      </c>
      <c r="F19" s="7" t="inlineStr">
        <is>
          <t>Backups exist but restore tests are inconsistent</t>
        </is>
      </c>
      <c r="G19" s="12" t="inlineStr">
        <is>
          <t>No formal RTO/RPO mapping</t>
        </is>
      </c>
      <c r="H19" s="13" t="inlineStr">
        <is>
          <t>Partial</t>
        </is>
      </c>
      <c r="I19" s="14" t="n">
        <v>1</v>
      </c>
      <c r="J19" s="7" t="inlineStr">
        <is>
          <t>High</t>
        </is>
      </c>
      <c r="K19" s="7" t="inlineStr">
        <is>
          <t>Define critical service RTO/RPO and test restoration quarterly.</t>
        </is>
      </c>
    </row>
    <row r="20">
      <c r="B20" s="12" t="inlineStr">
        <is>
          <t>Annex A</t>
        </is>
      </c>
      <c r="C20" s="12" t="inlineStr">
        <is>
          <t>A.7.2</t>
        </is>
      </c>
      <c r="D20" s="7" t="inlineStr">
        <is>
          <t>Physical entry controls</t>
        </is>
      </c>
      <c r="E20" s="7" t="inlineStr">
        <is>
          <t>Restrict office access</t>
        </is>
      </c>
      <c r="F20" s="7" t="inlineStr">
        <is>
          <t>Office access handled by building management</t>
        </is>
      </c>
      <c r="G20" s="12" t="inlineStr">
        <is>
          <t>No retained access review evidence</t>
        </is>
      </c>
      <c r="H20" s="13" t="inlineStr">
        <is>
          <t>Partial</t>
        </is>
      </c>
      <c r="I20" s="14" t="n">
        <v>1</v>
      </c>
      <c r="J20" s="7" t="inlineStr">
        <is>
          <t>Low</t>
        </is>
      </c>
      <c r="K20" s="7" t="inlineStr">
        <is>
          <t>Document building access expectations and termination checks.</t>
        </is>
      </c>
    </row>
    <row r="21">
      <c r="B21" s="12" t="inlineStr">
        <is>
          <t>Annex A</t>
        </is>
      </c>
      <c r="C21" s="12" t="inlineStr">
        <is>
          <t>A.7.7</t>
        </is>
      </c>
      <c r="D21" s="7" t="inlineStr">
        <is>
          <t>Clear desk and clear screen</t>
        </is>
      </c>
      <c r="E21" s="7" t="inlineStr">
        <is>
          <t>Protect exposed information</t>
        </is>
      </c>
      <c r="F21" s="7" t="inlineStr">
        <is>
          <t>No written standard</t>
        </is>
      </c>
      <c r="G21" s="12" t="inlineStr">
        <is>
          <t>Remote-first environment reduces exposure but laptops are used in co-working spaces</t>
        </is>
      </c>
      <c r="H21" s="15" t="inlineStr">
        <is>
          <t>Not Implemented</t>
        </is>
      </c>
      <c r="I21" s="14" t="n">
        <v>0</v>
      </c>
      <c r="J21" s="7" t="inlineStr">
        <is>
          <t>Low</t>
        </is>
      </c>
      <c r="K21" s="7" t="inlineStr">
        <is>
          <t>Add clear-screen expectations to acceptable use and awareness training.</t>
        </is>
      </c>
    </row>
    <row r="22">
      <c r="B22" s="12" t="inlineStr">
        <is>
          <t>Annex A</t>
        </is>
      </c>
      <c r="C22" s="12" t="inlineStr">
        <is>
          <t>A.8.1</t>
        </is>
      </c>
      <c r="D22" s="7" t="inlineStr">
        <is>
          <t>User endpoint devices</t>
        </is>
      </c>
      <c r="E22" s="7" t="inlineStr">
        <is>
          <t>Secure endpoints</t>
        </is>
      </c>
      <c r="F22" s="7" t="inlineStr">
        <is>
          <t>EDR present and patching partly managed</t>
        </is>
      </c>
      <c r="G22" s="12" t="inlineStr">
        <is>
          <t>No formal endpoint baseline</t>
        </is>
      </c>
      <c r="H22" s="13" t="inlineStr">
        <is>
          <t>Partial</t>
        </is>
      </c>
      <c r="I22" s="14" t="n">
        <v>1</v>
      </c>
      <c r="J22" s="7" t="inlineStr">
        <is>
          <t>High</t>
        </is>
      </c>
      <c r="K22" s="7" t="inlineStr">
        <is>
          <t>Create endpoint baseline for encryption, patching, EDR, screen lock, and admin rights.</t>
        </is>
      </c>
    </row>
    <row r="23">
      <c r="B23" s="12" t="inlineStr">
        <is>
          <t>Annex A</t>
        </is>
      </c>
      <c r="C23" s="12" t="inlineStr">
        <is>
          <t>A.8.2</t>
        </is>
      </c>
      <c r="D23" s="7" t="inlineStr">
        <is>
          <t>Privileged access rights</t>
        </is>
      </c>
      <c r="E23" s="7" t="inlineStr">
        <is>
          <t>Restrict privileged access</t>
        </is>
      </c>
      <c r="F23" s="7" t="inlineStr">
        <is>
          <t>Admins are limited but not formally reviewed</t>
        </is>
      </c>
      <c r="G23" s="12" t="inlineStr">
        <is>
          <t>Privileged role list not documented</t>
        </is>
      </c>
      <c r="H23" s="13" t="inlineStr">
        <is>
          <t>Partial</t>
        </is>
      </c>
      <c r="I23" s="14" t="n">
        <v>1</v>
      </c>
      <c r="J23" s="7" t="inlineStr">
        <is>
          <t>High</t>
        </is>
      </c>
      <c r="K23" s="7" t="inlineStr">
        <is>
          <t>Define privileged roles, approvals, and quarterly reviews.</t>
        </is>
      </c>
    </row>
    <row r="24">
      <c r="B24" s="12" t="inlineStr">
        <is>
          <t>Annex A</t>
        </is>
      </c>
      <c r="C24" s="12" t="inlineStr">
        <is>
          <t>A.8.5</t>
        </is>
      </c>
      <c r="D24" s="7" t="inlineStr">
        <is>
          <t>Secure authentication</t>
        </is>
      </c>
      <c r="E24" s="7" t="inlineStr">
        <is>
          <t>Use secure auth methods</t>
        </is>
      </c>
      <c r="F24" s="7" t="inlineStr">
        <is>
          <t>SSO plus MFA for some systems</t>
        </is>
      </c>
      <c r="G24" s="12" t="inlineStr">
        <is>
          <t>Legacy systems still use password only</t>
        </is>
      </c>
      <c r="H24" s="13" t="inlineStr">
        <is>
          <t>Partial</t>
        </is>
      </c>
      <c r="I24" s="14" t="n">
        <v>1</v>
      </c>
      <c r="J24" s="7" t="inlineStr">
        <is>
          <t>Medium</t>
        </is>
      </c>
      <c r="K24" s="7" t="inlineStr">
        <is>
          <t>Expand SSO/MFA coverage and remove legacy standalone credentials.</t>
        </is>
      </c>
    </row>
    <row r="25">
      <c r="B25" s="12" t="inlineStr">
        <is>
          <t>Annex A</t>
        </is>
      </c>
      <c r="C25" s="12" t="inlineStr">
        <is>
          <t>A.8.9</t>
        </is>
      </c>
      <c r="D25" s="7" t="inlineStr">
        <is>
          <t>Configuration management</t>
        </is>
      </c>
      <c r="E25" s="7" t="inlineStr">
        <is>
          <t>Control secure configurations</t>
        </is>
      </c>
      <c r="F25" s="7" t="inlineStr">
        <is>
          <t>Cloud configs mostly manual</t>
        </is>
      </c>
      <c r="G25" s="12" t="inlineStr">
        <is>
          <t>No approved hardening baseline</t>
        </is>
      </c>
      <c r="H25" s="15" t="inlineStr">
        <is>
          <t>Not Implemented</t>
        </is>
      </c>
      <c r="I25" s="14" t="n">
        <v>0</v>
      </c>
      <c r="J25" s="7" t="inlineStr">
        <is>
          <t>High</t>
        </is>
      </c>
      <c r="K25" s="7" t="inlineStr">
        <is>
          <t>Create secure build standards and baseline validation.</t>
        </is>
      </c>
    </row>
    <row r="26">
      <c r="B26" s="12" t="inlineStr">
        <is>
          <t>Annex A</t>
        </is>
      </c>
      <c r="C26" s="12" t="inlineStr">
        <is>
          <t>A.8.12</t>
        </is>
      </c>
      <c r="D26" s="7" t="inlineStr">
        <is>
          <t>Data leakage prevention</t>
        </is>
      </c>
      <c r="E26" s="7" t="inlineStr">
        <is>
          <t>Prevent unauthorized disclosure</t>
        </is>
      </c>
      <c r="F26" s="7" t="inlineStr">
        <is>
          <t>No DLP tooling or classification workflow</t>
        </is>
      </c>
      <c r="G26" s="12" t="inlineStr">
        <is>
          <t>PII handling relies on employee judgment</t>
        </is>
      </c>
      <c r="H26" s="15" t="inlineStr">
        <is>
          <t>Not Implemented</t>
        </is>
      </c>
      <c r="I26" s="14" t="n">
        <v>0</v>
      </c>
      <c r="J26" s="7" t="inlineStr">
        <is>
          <t>High</t>
        </is>
      </c>
      <c r="K26" s="7" t="inlineStr">
        <is>
          <t>Start with data classification and lightweight DLP for email/storage.</t>
        </is>
      </c>
    </row>
    <row r="27">
      <c r="B27" s="12" t="inlineStr">
        <is>
          <t>Annex A</t>
        </is>
      </c>
      <c r="C27" s="12" t="inlineStr">
        <is>
          <t>A.8.15</t>
        </is>
      </c>
      <c r="D27" s="7" t="inlineStr">
        <is>
          <t>Logging</t>
        </is>
      </c>
      <c r="E27" s="7" t="inlineStr">
        <is>
          <t>Record security events</t>
        </is>
      </c>
      <c r="F27" s="7" t="inlineStr">
        <is>
          <t>AWS and M365 logging enabled in parts</t>
        </is>
      </c>
      <c r="G27" s="12" t="inlineStr">
        <is>
          <t>No unified logging standard or retention policy</t>
        </is>
      </c>
      <c r="H27" s="13" t="inlineStr">
        <is>
          <t>Partial</t>
        </is>
      </c>
      <c r="I27" s="14" t="n">
        <v>1</v>
      </c>
      <c r="J27" s="7" t="inlineStr">
        <is>
          <t>High</t>
        </is>
      </c>
      <c r="K27" s="7" t="inlineStr">
        <is>
          <t>Define logging baseline, retention, and monitoring use cases.</t>
        </is>
      </c>
    </row>
    <row r="28">
      <c r="B28" s="12" t="inlineStr">
        <is>
          <t>Annex A</t>
        </is>
      </c>
      <c r="C28" s="12" t="inlineStr">
        <is>
          <t>A.8.16</t>
        </is>
      </c>
      <c r="D28" s="7" t="inlineStr">
        <is>
          <t>Monitoring activities</t>
        </is>
      </c>
      <c r="E28" s="7" t="inlineStr">
        <is>
          <t>Monitor anomalies</t>
        </is>
      </c>
      <c r="F28" s="7" t="inlineStr">
        <is>
          <t>Alerting exists for endpoints, limited cloud detections</t>
        </is>
      </c>
      <c r="G28" s="12" t="inlineStr">
        <is>
          <t>Coverage gaps across SaaS and admin actions</t>
        </is>
      </c>
      <c r="H28" s="13" t="inlineStr">
        <is>
          <t>Partial</t>
        </is>
      </c>
      <c r="I28" s="14" t="n">
        <v>1</v>
      </c>
      <c r="J28" s="7" t="inlineStr">
        <is>
          <t>Medium</t>
        </is>
      </c>
      <c r="K28" s="7" t="inlineStr">
        <is>
          <t>Map top attack paths to detection rules and owner review cadence.</t>
        </is>
      </c>
    </row>
    <row r="29">
      <c r="B29" s="12" t="inlineStr">
        <is>
          <t>Annex A</t>
        </is>
      </c>
      <c r="C29" s="12" t="inlineStr">
        <is>
          <t>A.8.23</t>
        </is>
      </c>
      <c r="D29" s="7" t="inlineStr">
        <is>
          <t>Web filtering</t>
        </is>
      </c>
      <c r="E29" s="7" t="inlineStr">
        <is>
          <t>Reduce malicious web access</t>
        </is>
      </c>
      <c r="F29" s="7" t="inlineStr">
        <is>
          <t>Browser controls vary by team</t>
        </is>
      </c>
      <c r="G29" s="12" t="inlineStr">
        <is>
          <t>No centralized policy</t>
        </is>
      </c>
      <c r="H29" s="15" t="inlineStr">
        <is>
          <t>Not Implemented</t>
        </is>
      </c>
      <c r="I29" s="14" t="n">
        <v>0</v>
      </c>
      <c r="J29" s="7" t="inlineStr">
        <is>
          <t>Low</t>
        </is>
      </c>
      <c r="K29" s="7" t="inlineStr">
        <is>
          <t>Enable DNS/web filtering for managed devices.</t>
        </is>
      </c>
    </row>
  </sheetData>
  <mergeCells count="2">
    <mergeCell ref="B3:J3"/>
    <mergeCell ref="B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4" customWidth="1" min="4" max="4"/>
    <col width="34" customWidth="1" min="5" max="5"/>
    <col width="12" customWidth="1" min="6" max="6"/>
    <col width="12" customWidth="1" min="7" max="7"/>
    <col width="14" customWidth="1" min="8" max="8"/>
    <col width="10" customWidth="1" min="9" max="9"/>
    <col width="16" customWidth="1" min="10" max="10"/>
    <col width="34" customWidth="1" min="11" max="11"/>
  </cols>
  <sheetData>
    <row r="1"/>
    <row r="2">
      <c r="B2" s="1" t="inlineStr">
        <is>
          <t>Findings Register</t>
        </is>
      </c>
    </row>
    <row r="3">
      <c r="B3" s="2" t="inlineStr">
        <is>
          <t>Eight portfolio-ready findings derived from the control matrix.</t>
        </is>
      </c>
    </row>
    <row r="4"/>
    <row r="5">
      <c r="B5" s="11" t="inlineStr">
        <is>
          <t>ID</t>
        </is>
      </c>
      <c r="C5" s="11" t="inlineStr">
        <is>
          <t>Category</t>
        </is>
      </c>
      <c r="D5" s="11" t="inlineStr">
        <is>
          <t>Finding</t>
        </is>
      </c>
      <c r="E5" s="11" t="inlineStr">
        <is>
          <t>Risk Statement</t>
        </is>
      </c>
      <c r="F5" s="11" t="inlineStr">
        <is>
          <t>Impact</t>
        </is>
      </c>
      <c r="G5" s="11" t="inlineStr">
        <is>
          <t>Likelihood</t>
        </is>
      </c>
      <c r="H5" s="11" t="inlineStr">
        <is>
          <t>Impact Rating</t>
        </is>
      </c>
      <c r="I5" s="11" t="inlineStr">
        <is>
          <t>Risk</t>
        </is>
      </c>
      <c r="J5" s="11" t="inlineStr">
        <is>
          <t>Owner</t>
        </is>
      </c>
      <c r="K5" s="11" t="inlineStr">
        <is>
          <t>Recommended Action</t>
        </is>
      </c>
    </row>
    <row r="6">
      <c r="B6" s="12" t="inlineStr">
        <is>
          <t>F-01</t>
        </is>
      </c>
      <c r="C6" s="12" t="inlineStr">
        <is>
          <t>Governance</t>
        </is>
      </c>
      <c r="D6" s="7" t="inlineStr">
        <is>
          <t>No formal risk assessment methodology</t>
        </is>
      </c>
      <c r="E6" s="7" t="inlineStr">
        <is>
          <t>Security decisions may be inconsistent and hard to defend during audits.</t>
        </is>
      </c>
      <c r="F6" s="7" t="inlineStr">
        <is>
          <t>High</t>
        </is>
      </c>
      <c r="G6" s="12" t="inlineStr">
        <is>
          <t>High</t>
        </is>
      </c>
      <c r="H6" s="12" t="inlineStr">
        <is>
          <t>High</t>
        </is>
      </c>
      <c r="I6" s="15" t="inlineStr">
        <is>
          <t>High</t>
        </is>
      </c>
      <c r="J6" s="7" t="inlineStr">
        <is>
          <t>Security Lead</t>
        </is>
      </c>
      <c r="K6" s="7" t="inlineStr">
        <is>
          <t>Approve risk method and maintain a treatment register.</t>
        </is>
      </c>
    </row>
    <row r="7">
      <c r="B7" s="12" t="inlineStr">
        <is>
          <t>F-02</t>
        </is>
      </c>
      <c r="C7" s="12" t="inlineStr">
        <is>
          <t>Documentation</t>
        </is>
      </c>
      <c r="D7" s="7" t="inlineStr">
        <is>
          <t>Policy set lacks owner and review cadence</t>
        </is>
      </c>
      <c r="E7" s="7" t="inlineStr">
        <is>
          <t>Policies may become outdated and fail to guide operations.</t>
        </is>
      </c>
      <c r="F7" s="7" t="inlineStr">
        <is>
          <t>Medium</t>
        </is>
      </c>
      <c r="G7" s="12" t="inlineStr">
        <is>
          <t>High</t>
        </is>
      </c>
      <c r="H7" s="12" t="inlineStr">
        <is>
          <t>Medium</t>
        </is>
      </c>
      <c r="I7" s="15" t="inlineStr">
        <is>
          <t>High</t>
        </is>
      </c>
      <c r="J7" s="7" t="inlineStr">
        <is>
          <t>Compliance Owner</t>
        </is>
      </c>
      <c r="K7" s="7" t="inlineStr">
        <is>
          <t>Publish policy library with annual review dates.</t>
        </is>
      </c>
    </row>
    <row r="8">
      <c r="B8" s="12" t="inlineStr">
        <is>
          <t>F-03</t>
        </is>
      </c>
      <c r="C8" s="12" t="inlineStr">
        <is>
          <t>Asset Mgmt</t>
        </is>
      </c>
      <c r="D8" s="7" t="inlineStr">
        <is>
          <t>No centralized asset inventory</t>
        </is>
      </c>
      <c r="E8" s="7" t="inlineStr">
        <is>
          <t>Critical systems and data stores may be missed during risk reviews or incidents.</t>
        </is>
      </c>
      <c r="F8" s="7" t="inlineStr">
        <is>
          <t>High</t>
        </is>
      </c>
      <c r="G8" s="12" t="inlineStr">
        <is>
          <t>Medium</t>
        </is>
      </c>
      <c r="H8" s="12" t="inlineStr">
        <is>
          <t>High</t>
        </is>
      </c>
      <c r="I8" s="15" t="inlineStr">
        <is>
          <t>High</t>
        </is>
      </c>
      <c r="J8" s="7" t="inlineStr">
        <is>
          <t>IT Operations</t>
        </is>
      </c>
      <c r="K8" s="7" t="inlineStr">
        <is>
          <t>Build single source of truth for systems, devices, and data assets.</t>
        </is>
      </c>
    </row>
    <row r="9">
      <c r="B9" s="12" t="inlineStr">
        <is>
          <t>F-04</t>
        </is>
      </c>
      <c r="C9" s="12" t="inlineStr">
        <is>
          <t>Access Control</t>
        </is>
      </c>
      <c r="D9" s="7" t="inlineStr">
        <is>
          <t>Access reviews are inconsistent</t>
        </is>
      </c>
      <c r="E9" s="7" t="inlineStr">
        <is>
          <t>Excessive access may remain after role changes or offboarding.</t>
        </is>
      </c>
      <c r="F9" s="7" t="inlineStr">
        <is>
          <t>High</t>
        </is>
      </c>
      <c r="G9" s="12" t="inlineStr">
        <is>
          <t>High</t>
        </is>
      </c>
      <c r="H9" s="12" t="inlineStr">
        <is>
          <t>High</t>
        </is>
      </c>
      <c r="I9" s="15" t="inlineStr">
        <is>
          <t>High</t>
        </is>
      </c>
      <c r="J9" s="7" t="inlineStr">
        <is>
          <t>IT / HR</t>
        </is>
      </c>
      <c r="K9" s="7" t="inlineStr">
        <is>
          <t>Run quarterly recertification and document joiner-mover-leaver workflow.</t>
        </is>
      </c>
    </row>
    <row r="10">
      <c r="B10" s="12" t="inlineStr">
        <is>
          <t>F-05</t>
        </is>
      </c>
      <c r="C10" s="12" t="inlineStr">
        <is>
          <t>Supplier Risk</t>
        </is>
      </c>
      <c r="D10" s="7" t="inlineStr">
        <is>
          <t>Vendor due diligence is informal</t>
        </is>
      </c>
      <c r="E10" s="7" t="inlineStr">
        <is>
          <t>High-risk suppliers may process data without appropriate security review.</t>
        </is>
      </c>
      <c r="F10" s="7" t="inlineStr">
        <is>
          <t>High</t>
        </is>
      </c>
      <c r="G10" s="12" t="inlineStr">
        <is>
          <t>Medium</t>
        </is>
      </c>
      <c r="H10" s="12" t="inlineStr">
        <is>
          <t>High</t>
        </is>
      </c>
      <c r="I10" s="15" t="inlineStr">
        <is>
          <t>High</t>
        </is>
      </c>
      <c r="J10" s="7" t="inlineStr">
        <is>
          <t>Procurement</t>
        </is>
      </c>
      <c r="K10" s="7" t="inlineStr">
        <is>
          <t>Create vendor tiering and review checklist before onboarding.</t>
        </is>
      </c>
    </row>
    <row r="11">
      <c r="B11" s="12" t="inlineStr">
        <is>
          <t>F-06</t>
        </is>
      </c>
      <c r="C11" s="12" t="inlineStr">
        <is>
          <t>Incident Response</t>
        </is>
      </c>
      <c r="D11" s="7" t="inlineStr">
        <is>
          <t>No approved IR plan or tabletop exercise</t>
        </is>
      </c>
      <c r="E11" s="7" t="inlineStr">
        <is>
          <t>Major incidents may be escalated slowly and without clear roles.</t>
        </is>
      </c>
      <c r="F11" s="7" t="inlineStr">
        <is>
          <t>High</t>
        </is>
      </c>
      <c r="G11" s="12" t="inlineStr">
        <is>
          <t>Medium</t>
        </is>
      </c>
      <c r="H11" s="12" t="inlineStr">
        <is>
          <t>High</t>
        </is>
      </c>
      <c r="I11" s="15" t="inlineStr">
        <is>
          <t>High</t>
        </is>
      </c>
      <c r="J11" s="7" t="inlineStr">
        <is>
          <t>Security Lead</t>
        </is>
      </c>
      <c r="K11" s="7" t="inlineStr">
        <is>
          <t>Publish playbooks and run at least one tabletop.</t>
        </is>
      </c>
    </row>
    <row r="12">
      <c r="B12" s="12" t="inlineStr">
        <is>
          <t>F-07</t>
        </is>
      </c>
      <c r="C12" s="12" t="inlineStr">
        <is>
          <t>Resilience</t>
        </is>
      </c>
      <c r="D12" s="7" t="inlineStr">
        <is>
          <t>Backups are not restore-tested regularly</t>
        </is>
      </c>
      <c r="E12" s="7" t="inlineStr">
        <is>
          <t>Recovery may fail during ransomware or cloud outages.</t>
        </is>
      </c>
      <c r="F12" s="7" t="inlineStr">
        <is>
          <t>High</t>
        </is>
      </c>
      <c r="G12" s="12" t="inlineStr">
        <is>
          <t>Medium</t>
        </is>
      </c>
      <c r="H12" s="12" t="inlineStr">
        <is>
          <t>High</t>
        </is>
      </c>
      <c r="I12" s="15" t="inlineStr">
        <is>
          <t>High</t>
        </is>
      </c>
      <c r="J12" s="7" t="inlineStr">
        <is>
          <t>Platform Team</t>
        </is>
      </c>
      <c r="K12" s="7" t="inlineStr">
        <is>
          <t>Set RTO/RPO and evidence quarterly restore tests.</t>
        </is>
      </c>
    </row>
    <row r="13">
      <c r="B13" s="12" t="inlineStr">
        <is>
          <t>F-08</t>
        </is>
      </c>
      <c r="C13" s="12" t="inlineStr">
        <is>
          <t>Monitoring</t>
        </is>
      </c>
      <c r="D13" s="7" t="inlineStr">
        <is>
          <t>Logging and detection coverage is fragmented</t>
        </is>
      </c>
      <c r="E13" s="7" t="inlineStr">
        <is>
          <t>Threat activity may go undetected across cloud and SaaS admin actions.</t>
        </is>
      </c>
      <c r="F13" s="7" t="inlineStr">
        <is>
          <t>Medium</t>
        </is>
      </c>
      <c r="G13" s="12" t="inlineStr">
        <is>
          <t>Medium</t>
        </is>
      </c>
      <c r="H13" s="12" t="inlineStr">
        <is>
          <t>Medium</t>
        </is>
      </c>
      <c r="I13" s="13" t="inlineStr">
        <is>
          <t>Medium</t>
        </is>
      </c>
      <c r="J13" s="7" t="inlineStr">
        <is>
          <t>SOC / Security Ops</t>
        </is>
      </c>
      <c r="K13" s="7" t="inlineStr">
        <is>
          <t>Define logging standard and expand detections by threat scenario.</t>
        </is>
      </c>
    </row>
  </sheetData>
  <mergeCells count="2">
    <mergeCell ref="B3:J3"/>
    <mergeCell ref="B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8" customWidth="1" min="4" max="4"/>
    <col width="38" customWidth="1" min="5" max="5"/>
    <col width="18" customWidth="1" min="6" max="6"/>
    <col width="12" customWidth="1" min="7" max="7"/>
    <col width="18" customWidth="1" min="8" max="8"/>
  </cols>
  <sheetData>
    <row r="1"/>
    <row r="2">
      <c r="B2" s="1" t="inlineStr">
        <is>
          <t>90-Day Remediation Roadmap</t>
        </is>
      </c>
    </row>
    <row r="3">
      <c r="B3" s="2" t="inlineStr">
        <is>
          <t>Prioritized plan for quick wins and audit-readiness improvement.</t>
        </is>
      </c>
    </row>
    <row r="4"/>
    <row r="5">
      <c r="B5" s="11" t="inlineStr">
        <is>
          <t>Phase</t>
        </is>
      </c>
      <c r="C5" s="11" t="inlineStr">
        <is>
          <t>Timeline</t>
        </is>
      </c>
      <c r="D5" s="11" t="inlineStr">
        <is>
          <t>Workstream</t>
        </is>
      </c>
      <c r="E5" s="11" t="inlineStr">
        <is>
          <t>Action</t>
        </is>
      </c>
      <c r="F5" s="11" t="inlineStr">
        <is>
          <t>Owner</t>
        </is>
      </c>
      <c r="G5" s="11" t="inlineStr">
        <is>
          <t>Effort</t>
        </is>
      </c>
      <c r="H5" s="11" t="inlineStr">
        <is>
          <t>Dependency</t>
        </is>
      </c>
    </row>
    <row r="6">
      <c r="B6" s="12" t="inlineStr">
        <is>
          <t>Phase 1</t>
        </is>
      </c>
      <c r="C6" s="12" t="inlineStr">
        <is>
          <t>Days 1-30</t>
        </is>
      </c>
      <c r="D6" s="7" t="inlineStr">
        <is>
          <t>Governance</t>
        </is>
      </c>
      <c r="E6" s="7" t="inlineStr">
        <is>
          <t>Approve ISMS scope, risk method, policy owners, and review calendar.</t>
        </is>
      </c>
      <c r="F6" s="7" t="inlineStr">
        <is>
          <t>Leadership / Security</t>
        </is>
      </c>
      <c r="G6" s="12" t="inlineStr">
        <is>
          <t>Medium</t>
        </is>
      </c>
      <c r="H6" s="7" t="inlineStr">
        <is>
          <t>Executive sponsor</t>
        </is>
      </c>
    </row>
    <row r="7">
      <c r="B7" s="12" t="inlineStr">
        <is>
          <t>Phase 1</t>
        </is>
      </c>
      <c r="C7" s="12" t="inlineStr">
        <is>
          <t>Days 1-30</t>
        </is>
      </c>
      <c r="D7" s="7" t="inlineStr">
        <is>
          <t>Access</t>
        </is>
      </c>
      <c r="E7" s="7" t="inlineStr">
        <is>
          <t>Define JML workflow, privileged roles, and quarterly access review process.</t>
        </is>
      </c>
      <c r="F7" s="7" t="inlineStr">
        <is>
          <t>IT / HR</t>
        </is>
      </c>
      <c r="G7" s="12" t="inlineStr">
        <is>
          <t>Medium</t>
        </is>
      </c>
      <c r="H7" s="7" t="inlineStr">
        <is>
          <t>Identity data</t>
        </is>
      </c>
    </row>
    <row r="8">
      <c r="B8" s="12" t="inlineStr">
        <is>
          <t>Phase 1</t>
        </is>
      </c>
      <c r="C8" s="12" t="inlineStr">
        <is>
          <t>Days 1-30</t>
        </is>
      </c>
      <c r="D8" s="7" t="inlineStr">
        <is>
          <t>Incident Response</t>
        </is>
      </c>
      <c r="E8" s="7" t="inlineStr">
        <is>
          <t>Draft IR plan, communications matrix, and ransomware playbook.</t>
        </is>
      </c>
      <c r="F8" s="7" t="inlineStr">
        <is>
          <t>Security</t>
        </is>
      </c>
      <c r="G8" s="12" t="inlineStr">
        <is>
          <t>Medium</t>
        </is>
      </c>
      <c r="H8" s="7" t="inlineStr">
        <is>
          <t>Management review</t>
        </is>
      </c>
    </row>
    <row r="9">
      <c r="B9" s="12" t="inlineStr">
        <is>
          <t>Phase 2</t>
        </is>
      </c>
      <c r="C9" s="12" t="inlineStr">
        <is>
          <t>Days 31-60</t>
        </is>
      </c>
      <c r="D9" s="7" t="inlineStr">
        <is>
          <t>Asset Management</t>
        </is>
      </c>
      <c r="E9" s="7" t="inlineStr">
        <is>
          <t>Build asset register for systems, data stores, devices, and vendors.</t>
        </is>
      </c>
      <c r="F9" s="7" t="inlineStr">
        <is>
          <t>IT / Security</t>
        </is>
      </c>
      <c r="G9" s="12" t="inlineStr">
        <is>
          <t>High</t>
        </is>
      </c>
      <c r="H9" s="7" t="inlineStr">
        <is>
          <t>CMDB or spreadsheet</t>
        </is>
      </c>
    </row>
    <row r="10">
      <c r="B10" s="12" t="inlineStr">
        <is>
          <t>Phase 2</t>
        </is>
      </c>
      <c r="C10" s="12" t="inlineStr">
        <is>
          <t>Days 31-60</t>
        </is>
      </c>
      <c r="D10" s="7" t="inlineStr">
        <is>
          <t>Cloud Security</t>
        </is>
      </c>
      <c r="E10" s="7" t="inlineStr">
        <is>
          <t>Publish AWS baseline for IAM, logging, encryption, backups, and configuration review.</t>
        </is>
      </c>
      <c r="F10" s="7" t="inlineStr">
        <is>
          <t>Cloud Team</t>
        </is>
      </c>
      <c r="G10" s="12" t="inlineStr">
        <is>
          <t>High</t>
        </is>
      </c>
      <c r="H10" s="7" t="inlineStr">
        <is>
          <t>Architecture input</t>
        </is>
      </c>
    </row>
    <row r="11">
      <c r="B11" s="12" t="inlineStr">
        <is>
          <t>Phase 2</t>
        </is>
      </c>
      <c r="C11" s="12" t="inlineStr">
        <is>
          <t>Days 31-60</t>
        </is>
      </c>
      <c r="D11" s="7" t="inlineStr">
        <is>
          <t>Supplier Risk</t>
        </is>
      </c>
      <c r="E11" s="7" t="inlineStr">
        <is>
          <t>Create vendor tiering and due diligence checklist.</t>
        </is>
      </c>
      <c r="F11" s="7" t="inlineStr">
        <is>
          <t>Procurement / Security</t>
        </is>
      </c>
      <c r="G11" s="12" t="inlineStr">
        <is>
          <t>Medium</t>
        </is>
      </c>
      <c r="H11" s="7" t="inlineStr">
        <is>
          <t>Legal templates</t>
        </is>
      </c>
    </row>
    <row r="12">
      <c r="B12" s="12" t="inlineStr">
        <is>
          <t>Phase 3</t>
        </is>
      </c>
      <c r="C12" s="12" t="inlineStr">
        <is>
          <t>Days 61-90</t>
        </is>
      </c>
      <c r="D12" s="7" t="inlineStr">
        <is>
          <t>Monitoring</t>
        </is>
      </c>
      <c r="E12" s="7" t="inlineStr">
        <is>
          <t>Define logging standard and add prioritized detection use cases.</t>
        </is>
      </c>
      <c r="F12" s="7" t="inlineStr">
        <is>
          <t>Security Ops</t>
        </is>
      </c>
      <c r="G12" s="12" t="inlineStr">
        <is>
          <t>High</t>
        </is>
      </c>
      <c r="H12" s="7" t="inlineStr">
        <is>
          <t>Log sources enabled</t>
        </is>
      </c>
    </row>
    <row r="13">
      <c r="B13" s="12" t="inlineStr">
        <is>
          <t>Phase 3</t>
        </is>
      </c>
      <c r="C13" s="12" t="inlineStr">
        <is>
          <t>Days 61-90</t>
        </is>
      </c>
      <c r="D13" s="7" t="inlineStr">
        <is>
          <t>Resilience</t>
        </is>
      </c>
      <c r="E13" s="7" t="inlineStr">
        <is>
          <t>Run backup restore test and tabletop exercise; capture lessons learned.</t>
        </is>
      </c>
      <c r="F13" s="7" t="inlineStr">
        <is>
          <t>Platform / Security</t>
        </is>
      </c>
      <c r="G13" s="12" t="inlineStr">
        <is>
          <t>Medium</t>
        </is>
      </c>
      <c r="H13" s="7" t="inlineStr">
        <is>
          <t>Approved playbooks</t>
        </is>
      </c>
    </row>
  </sheetData>
  <mergeCells count="2">
    <mergeCell ref="B3:H3"/>
    <mergeCell ref="B2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40" customWidth="1" min="3" max="3"/>
    <col width="28" customWidth="1" min="4" max="4"/>
    <col width="20" customWidth="1" min="5" max="5"/>
    <col width="12" customWidth="1" min="6" max="6"/>
  </cols>
  <sheetData>
    <row r="1"/>
    <row r="2">
      <c r="B2" s="1" t="inlineStr">
        <is>
          <t>Stakeholder Interview Questionnaire</t>
        </is>
      </c>
    </row>
    <row r="3">
      <c r="B3" s="2" t="inlineStr">
        <is>
          <t>Use these prompts during a mini assessment workshop.</t>
        </is>
      </c>
    </row>
    <row r="4"/>
    <row r="5">
      <c r="B5" s="11" t="inlineStr">
        <is>
          <t>Area</t>
        </is>
      </c>
      <c r="C5" s="11" t="inlineStr">
        <is>
          <t>Question</t>
        </is>
      </c>
      <c r="D5" s="11" t="inlineStr">
        <is>
          <t>Suggested Evidence</t>
        </is>
      </c>
      <c r="E5" s="11" t="inlineStr">
        <is>
          <t>Primary Stakeholder</t>
        </is>
      </c>
      <c r="F5" s="11" t="inlineStr">
        <is>
          <t>Priority</t>
        </is>
      </c>
    </row>
    <row r="6">
      <c r="B6" s="7" t="inlineStr">
        <is>
          <t>Governance</t>
        </is>
      </c>
      <c r="C6" s="7" t="inlineStr">
        <is>
          <t>How is information security risk assessed, approved, and tracked?</t>
        </is>
      </c>
      <c r="D6" s="7" t="inlineStr">
        <is>
          <t>Risk register, risk methodology, meeting notes</t>
        </is>
      </c>
      <c r="E6" s="12" t="inlineStr">
        <is>
          <t>Security Lead / CTO</t>
        </is>
      </c>
      <c r="F6" s="12" t="inlineStr">
        <is>
          <t>High</t>
        </is>
      </c>
    </row>
    <row r="7">
      <c r="B7" s="7" t="inlineStr">
        <is>
          <t>Policies</t>
        </is>
      </c>
      <c r="C7" s="7" t="inlineStr">
        <is>
          <t>Which security policies exist, who owns them, and how often are they reviewed?</t>
        </is>
      </c>
      <c r="D7" s="7" t="inlineStr">
        <is>
          <t>Policy library, approval dates</t>
        </is>
      </c>
      <c r="E7" s="12" t="inlineStr">
        <is>
          <t>Compliance Owner</t>
        </is>
      </c>
      <c r="F7" s="12" t="inlineStr">
        <is>
          <t>High</t>
        </is>
      </c>
    </row>
    <row r="8">
      <c r="B8" s="7" t="inlineStr">
        <is>
          <t>Assets</t>
        </is>
      </c>
      <c r="C8" s="7" t="inlineStr">
        <is>
          <t>Do you maintain an inventory of systems, endpoints, data stores, and critical SaaS apps?</t>
        </is>
      </c>
      <c r="D8" s="7" t="inlineStr">
        <is>
          <t>Asset register, CMDB, cloud inventory exports</t>
        </is>
      </c>
      <c r="E8" s="12" t="inlineStr">
        <is>
          <t>IT Operations</t>
        </is>
      </c>
      <c r="F8" s="12" t="inlineStr">
        <is>
          <t>High</t>
        </is>
      </c>
    </row>
    <row r="9">
      <c r="B9" s="7" t="inlineStr">
        <is>
          <t>Access</t>
        </is>
      </c>
      <c r="C9" s="7" t="inlineStr">
        <is>
          <t>How are users provisioned, deprovisioned, and access-reviewed after role changes?</t>
        </is>
      </c>
      <c r="D9" s="7" t="inlineStr">
        <is>
          <t>HR workflow, IAM screenshots, review evidence</t>
        </is>
      </c>
      <c r="E9" s="12" t="inlineStr">
        <is>
          <t>IT / HR</t>
        </is>
      </c>
      <c r="F9" s="12" t="inlineStr">
        <is>
          <t>High</t>
        </is>
      </c>
    </row>
    <row r="10">
      <c r="B10" s="7" t="inlineStr">
        <is>
          <t>Suppliers</t>
        </is>
      </c>
      <c r="C10" s="7" t="inlineStr">
        <is>
          <t>How are vendors assessed before they process company or customer data?</t>
        </is>
      </c>
      <c r="D10" s="7" t="inlineStr">
        <is>
          <t>Vendor checklist, contracts, security reviews</t>
        </is>
      </c>
      <c r="E10" s="12" t="inlineStr">
        <is>
          <t>Procurement</t>
        </is>
      </c>
      <c r="F10" s="12" t="inlineStr">
        <is>
          <t>High</t>
        </is>
      </c>
    </row>
    <row r="11">
      <c r="B11" s="7" t="inlineStr">
        <is>
          <t>Incident Response</t>
        </is>
      </c>
      <c r="C11" s="7" t="inlineStr">
        <is>
          <t>What happens during a security incident, and when was the last exercise?</t>
        </is>
      </c>
      <c r="D11" s="7" t="inlineStr">
        <is>
          <t>IR plan, playbooks, tabletop notes</t>
        </is>
      </c>
      <c r="E11" s="12" t="inlineStr">
        <is>
          <t>Security Team</t>
        </is>
      </c>
      <c r="F11" s="12" t="inlineStr">
        <is>
          <t>High</t>
        </is>
      </c>
    </row>
    <row r="12">
      <c r="B12" s="7" t="inlineStr">
        <is>
          <t>Backups</t>
        </is>
      </c>
      <c r="C12" s="7" t="inlineStr">
        <is>
          <t>Which systems are backed up and when was recovery last tested?</t>
        </is>
      </c>
      <c r="D12" s="7" t="inlineStr">
        <is>
          <t>Backup schedule, restore results</t>
        </is>
      </c>
      <c r="E12" s="12" t="inlineStr">
        <is>
          <t>Platform Team</t>
        </is>
      </c>
      <c r="F12" s="12" t="inlineStr">
        <is>
          <t>High</t>
        </is>
      </c>
    </row>
    <row r="13">
      <c r="B13" s="7" t="inlineStr">
        <is>
          <t>Logging</t>
        </is>
      </c>
      <c r="C13" s="7" t="inlineStr">
        <is>
          <t>Which logs are retained, monitored, and reviewed?</t>
        </is>
      </c>
      <c r="D13" s="7" t="inlineStr">
        <is>
          <t>SIEM configs, retention settings, alert runbooks</t>
        </is>
      </c>
      <c r="E13" s="12" t="inlineStr">
        <is>
          <t>Security Ops</t>
        </is>
      </c>
      <c r="F13" s="12" t="inlineStr">
        <is>
          <t>Medium</t>
        </is>
      </c>
    </row>
    <row r="14">
      <c r="B14" s="7" t="inlineStr">
        <is>
          <t>Endpoints</t>
        </is>
      </c>
      <c r="C14" s="7" t="inlineStr">
        <is>
          <t>What controls exist for encryption, patching, EDR, and admin rights?</t>
        </is>
      </c>
      <c r="D14" s="7" t="inlineStr">
        <is>
          <t>MDM/EDR settings, patch reports</t>
        </is>
      </c>
      <c r="E14" s="12" t="inlineStr">
        <is>
          <t>IT Operations</t>
        </is>
      </c>
      <c r="F14" s="12" t="inlineStr">
        <is>
          <t>Medium</t>
        </is>
      </c>
    </row>
    <row r="15">
      <c r="B15" s="7" t="inlineStr">
        <is>
          <t>Training</t>
        </is>
      </c>
      <c r="C15" s="7" t="inlineStr">
        <is>
          <t>How do role-based security awareness and admin training work?</t>
        </is>
      </c>
      <c r="D15" s="7" t="inlineStr">
        <is>
          <t>Training matrix, completion reports</t>
        </is>
      </c>
      <c r="E15" s="12" t="inlineStr">
        <is>
          <t>HR / Security</t>
        </is>
      </c>
      <c r="F15" s="12" t="inlineStr">
        <is>
          <t>Medium</t>
        </is>
      </c>
    </row>
  </sheetData>
  <mergeCells count="2">
    <mergeCell ref="B3:H3"/>
    <mergeCell ref="B2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2026-05-28T01:13:03Z</dcterms:created>
  <dcterms:modified xmlns:dcterms="http://purl.org/dc/terms/" xmlns:xsi="http://www.w3.org/2001/XMLSchema-instance" xsi:type="dcterms:W3CDTF">2026-05-28T01:13:03Z</dcterms:modified>
</cp:coreProperties>
</file>